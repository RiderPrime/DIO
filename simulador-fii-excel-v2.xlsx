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E8F771F9-7D3B-41CC-B91B-43F5EE51AFA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dor" sheetId="1" r:id="rId1"/>
    <sheet name="Apoio" sheetId="2" r:id="rId2"/>
    <sheet name="README" sheetId="3" r:id="rId3"/>
  </sheets>
  <definedNames>
    <definedName name="aporte">Simulador!$C$6</definedName>
    <definedName name="perfil">Simulador!$C$9</definedName>
    <definedName name="prazo_anos">Simulador!$C$7</definedName>
    <definedName name="salario">Simulador!$C$5</definedName>
    <definedName name="taxa_mensal">Simulador!$C$8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3" i="2"/>
  <c r="G2" i="2"/>
  <c r="D22" i="1"/>
  <c r="D21" i="1"/>
  <c r="D20" i="1"/>
  <c r="D19" i="1"/>
  <c r="D18" i="1"/>
  <c r="G15" i="1"/>
  <c r="H15" i="1" s="1"/>
  <c r="G14" i="1"/>
  <c r="H14" i="1" s="1"/>
  <c r="G13" i="1"/>
  <c r="H13" i="1" s="1"/>
  <c r="C13" i="1"/>
  <c r="G12" i="1"/>
  <c r="H12" i="1" s="1"/>
  <c r="G11" i="1"/>
  <c r="H11" i="1" s="1"/>
  <c r="G10" i="1"/>
  <c r="G16" i="1" s="1"/>
  <c r="F5" i="1"/>
  <c r="H10" i="1" l="1"/>
  <c r="H16" i="1" s="1"/>
</calcChain>
</file>

<file path=xl/sharedStrings.xml><?xml version="1.0" encoding="utf-8"?>
<sst xmlns="http://schemas.openxmlformats.org/spreadsheetml/2006/main" count="106" uniqueCount="64">
  <si>
    <t>SIMULADOR DE INVESTIMENTOS EM FIIs</t>
  </si>
  <si>
    <t>Salário mensal</t>
  </si>
  <si>
    <t>Sugestão de aporte (30% do salário)</t>
  </si>
  <si>
    <t>Aporte mensal</t>
  </si>
  <si>
    <t>Prazo (anos)</t>
  </si>
  <si>
    <t>Rendimento mensal</t>
  </si>
  <si>
    <t>DIVISÃO DO APORTE</t>
  </si>
  <si>
    <t>Perfil de investidor</t>
  </si>
  <si>
    <t>Moderado</t>
  </si>
  <si>
    <t>Tipo de fundo</t>
  </si>
  <si>
    <t>Percentual</t>
  </si>
  <si>
    <t>Aporte</t>
  </si>
  <si>
    <t>Tijolo</t>
  </si>
  <si>
    <t>RESULTADOS</t>
  </si>
  <si>
    <t>Papel</t>
  </si>
  <si>
    <t>Patrimônio acumulado</t>
  </si>
  <si>
    <t>Híbrido</t>
  </si>
  <si>
    <t>Dividendos mensais</t>
  </si>
  <si>
    <t>FOF</t>
  </si>
  <si>
    <t>Desenvolvimento</t>
  </si>
  <si>
    <t>Agro</t>
  </si>
  <si>
    <t>PROJEÇÃO POR PRAZO</t>
  </si>
  <si>
    <t>Total</t>
  </si>
  <si>
    <t>Patrimônio</t>
  </si>
  <si>
    <t>Dividendos/mês</t>
  </si>
  <si>
    <t>Chave</t>
  </si>
  <si>
    <t>Perfil</t>
  </si>
  <si>
    <t>Conservador_Tijolo</t>
  </si>
  <si>
    <t>Conservador</t>
  </si>
  <si>
    <t>Conservador_Papel</t>
  </si>
  <si>
    <t>Conservador_Híbrido</t>
  </si>
  <si>
    <t>Arrojado</t>
  </si>
  <si>
    <t>Conservador_FOF</t>
  </si>
  <si>
    <t>Conservador_Desenvolvimento</t>
  </si>
  <si>
    <t>Conservador_Agro</t>
  </si>
  <si>
    <t>Moderado_Tijolo</t>
  </si>
  <si>
    <t>Moderado_Papel</t>
  </si>
  <si>
    <t>Moderado_Híbrido</t>
  </si>
  <si>
    <t>Moderado_FOF</t>
  </si>
  <si>
    <t>Moderado_Desenvolvimento</t>
  </si>
  <si>
    <t>Moderado_Agro</t>
  </si>
  <si>
    <t>Arrojado_Tijolo</t>
  </si>
  <si>
    <t>Arrojado_Papel</t>
  </si>
  <si>
    <t>Arrojado_Híbrido</t>
  </si>
  <si>
    <t>Arrojado_FOF</t>
  </si>
  <si>
    <t>Arrojado_Desenvolvimento</t>
  </si>
  <si>
    <t>Arrojado_Agro</t>
  </si>
  <si>
    <t>README — Simulador de Investimentos em FIIs</t>
  </si>
  <si>
    <t>Objetivo</t>
  </si>
  <si>
    <t>Simular patrimônio e dividendos a partir de aporte mensal, prazo e rendimento mensal.</t>
  </si>
  <si>
    <t>Perguntas respondidas</t>
  </si>
  <si>
    <t>1. Quanto investir por mês? — Simulador!C6</t>
  </si>
  <si>
    <t>2. Por quantos anos? — Simulador!C7</t>
  </si>
  <si>
    <t>3. Qual a taxa de rendimento mensal? — Simulador!C8</t>
  </si>
  <si>
    <t>4. Quanto de patrimônio acumular? — Simulador!C12 e tabela de cenários</t>
  </si>
  <si>
    <t>5. Quanto receber de dividendos? — Simulador!C13</t>
  </si>
  <si>
    <t>Funções</t>
  </si>
  <si>
    <t>VF calcula o valor futuro dos aportes mensais. PROCV busca o percentual usando a chave Perfil_TipoDeFundo.</t>
  </si>
  <si>
    <t>Intervalos nomeados</t>
  </si>
  <si>
    <t>salario, aporte, prazo_anos, taxa_mensal e perfil.</t>
  </si>
  <si>
    <t>Perfis</t>
  </si>
  <si>
    <t>Percentuais fictícios para fins educacionais; não são recomendação de investimento.</t>
  </si>
  <si>
    <t>Observação</t>
  </si>
  <si>
    <t>Salário e aporte são valores de exemplo.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</si>
</sst>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/>
    <xf numFmtId="164" fontId="0" fillId="4" borderId="1" xfId="0" applyNumberFormat="1" applyFill="1" applyBorder="1"/>
    <xf numFmtId="0" fontId="2" fillId="0" borderId="1" xfId="0" applyFont="1" applyBorder="1"/>
    <xf numFmtId="164" fontId="0" fillId="5" borderId="1" xfId="0" applyNumberFormat="1" applyFill="1" applyBorder="1"/>
    <xf numFmtId="0" fontId="0" fillId="4" borderId="1" xfId="0" applyFill="1" applyBorder="1"/>
    <xf numFmtId="10" fontId="0" fillId="4" borderId="1" xfId="0" applyNumberFormat="1" applyFill="1" applyBorder="1"/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10" fontId="0" fillId="5" borderId="1" xfId="0" applyNumberFormat="1" applyFill="1" applyBorder="1"/>
    <xf numFmtId="10" fontId="2" fillId="0" borderId="1" xfId="0" applyNumberFormat="1" applyFont="1" applyBorder="1"/>
    <xf numFmtId="164" fontId="2" fillId="0" borderId="1" xfId="0" applyNumberFormat="1" applyFont="1" applyBorder="1"/>
    <xf numFmtId="0" fontId="4" fillId="2" borderId="0" xfId="0" applyFont="1" applyFill="1"/>
    <xf numFmtId="10" fontId="0" fillId="0" borderId="1" xfId="0" applyNumberFormat="1" applyBorder="1"/>
    <xf numFmtId="0" fontId="5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Simulador!$H$9</c:f>
              <c:strCache>
                <c:ptCount val="1"/>
                <c:pt idx="0">
                  <c:v>Aporte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Simulador!$F$10:$F$15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Híbrido</c:v>
                </c:pt>
                <c:pt idx="3">
                  <c:v>FOF</c:v>
                </c:pt>
                <c:pt idx="4">
                  <c:v>Desenvolvimento</c:v>
                </c:pt>
                <c:pt idx="5">
                  <c:v>Agro</c:v>
                </c:pt>
              </c:strCache>
            </c:strRef>
          </c:cat>
          <c:val>
            <c:numRef>
              <c:f>Simulador!$H$10:$H$15</c:f>
              <c:numCache>
                <c:formatCode>\R\$\ #,##0.00</c:formatCode>
                <c:ptCount val="6"/>
                <c:pt idx="0">
                  <c:v>300</c:v>
                </c:pt>
                <c:pt idx="1">
                  <c:v>200</c:v>
                </c:pt>
                <c:pt idx="2">
                  <c:v>200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0-4FAB-BECF-134ABBDCB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762000</xdr:colOff>
      <xdr:row>16</xdr:row>
      <xdr:rowOff>190499</xdr:rowOff>
    </xdr:from>
    <xdr:ext cx="5331600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showGridLines="0" tabSelected="1" workbookViewId="0">
      <pane xSplit="1" ySplit="4" topLeftCell="B6" activePane="bottomRight" state="frozen"/>
      <selection pane="topRight"/>
      <selection pane="bottomLeft"/>
      <selection pane="bottomRight" activeCell="D24" sqref="D24"/>
    </sheetView>
  </sheetViews>
  <sheetFormatPr defaultRowHeight="15" x14ac:dyDescent="0.25"/>
  <cols>
    <col min="2" max="2" width="30" customWidth="1"/>
    <col min="3" max="4" width="18" customWidth="1"/>
    <col min="5" max="5" width="32" customWidth="1"/>
    <col min="6" max="6" width="22" customWidth="1"/>
    <col min="7" max="7" width="16" customWidth="1"/>
    <col min="8" max="8" width="18" customWidth="1"/>
  </cols>
  <sheetData>
    <row r="2" spans="2:8" x14ac:dyDescent="0.25">
      <c r="B2" s="17" t="s">
        <v>0</v>
      </c>
      <c r="C2" s="18"/>
      <c r="D2" s="18"/>
      <c r="E2" s="18"/>
      <c r="F2" s="18"/>
      <c r="G2" s="18"/>
      <c r="H2" s="18"/>
    </row>
    <row r="3" spans="2:8" x14ac:dyDescent="0.25">
      <c r="B3" s="18"/>
      <c r="C3" s="18"/>
      <c r="D3" s="18"/>
      <c r="E3" s="18"/>
      <c r="F3" s="18"/>
      <c r="G3" s="18"/>
      <c r="H3" s="18"/>
    </row>
    <row r="5" spans="2:8" x14ac:dyDescent="0.25">
      <c r="B5" s="1" t="s">
        <v>1</v>
      </c>
      <c r="C5" s="2">
        <v>5000</v>
      </c>
      <c r="E5" s="3" t="s">
        <v>2</v>
      </c>
      <c r="F5" s="4">
        <f>salario*30%</f>
        <v>1500</v>
      </c>
    </row>
    <row r="6" spans="2:8" x14ac:dyDescent="0.25">
      <c r="B6" s="1" t="s">
        <v>3</v>
      </c>
      <c r="C6" s="2">
        <v>1000</v>
      </c>
    </row>
    <row r="7" spans="2:8" x14ac:dyDescent="0.25">
      <c r="B7" s="1" t="s">
        <v>4</v>
      </c>
      <c r="C7" s="5">
        <v>10</v>
      </c>
    </row>
    <row r="8" spans="2:8" ht="18.75" x14ac:dyDescent="0.3">
      <c r="B8" s="1" t="s">
        <v>5</v>
      </c>
      <c r="C8" s="6">
        <v>8.0000000000000002E-3</v>
      </c>
      <c r="F8" s="7" t="s">
        <v>6</v>
      </c>
    </row>
    <row r="9" spans="2:8" x14ac:dyDescent="0.25">
      <c r="B9" s="1" t="s">
        <v>7</v>
      </c>
      <c r="C9" s="5" t="s">
        <v>8</v>
      </c>
      <c r="F9" s="8" t="s">
        <v>9</v>
      </c>
      <c r="G9" s="8" t="s">
        <v>10</v>
      </c>
      <c r="H9" s="8" t="s">
        <v>11</v>
      </c>
    </row>
    <row r="10" spans="2:8" x14ac:dyDescent="0.25">
      <c r="F10" s="9" t="s">
        <v>12</v>
      </c>
      <c r="G10" s="10">
        <f>VLOOKUP($C$9&amp;"_"&amp;F10,Apoio!$A$2:$D$19,4,FALSE)</f>
        <v>0.3</v>
      </c>
      <c r="H10" s="4">
        <f t="shared" ref="H10:H15" si="0">$C$6*G10</f>
        <v>300</v>
      </c>
    </row>
    <row r="11" spans="2:8" ht="18.75" x14ac:dyDescent="0.3">
      <c r="B11" s="7" t="s">
        <v>13</v>
      </c>
      <c r="F11" s="9" t="s">
        <v>14</v>
      </c>
      <c r="G11" s="10">
        <f>VLOOKUP($C$9&amp;"_"&amp;F11,Apoio!$A$2:$D$19,4,FALSE)</f>
        <v>0.2</v>
      </c>
      <c r="H11" s="4">
        <f t="shared" si="0"/>
        <v>200</v>
      </c>
    </row>
    <row r="12" spans="2:8" x14ac:dyDescent="0.25">
      <c r="B12" s="1" t="s">
        <v>15</v>
      </c>
      <c r="C12" s="4"/>
      <c r="F12" s="9" t="s">
        <v>16</v>
      </c>
      <c r="G12" s="10">
        <f>VLOOKUP($C$9&amp;"_"&amp;F12,Apoio!$A$2:$D$19,4,FALSE)</f>
        <v>0.2</v>
      </c>
      <c r="H12" s="4">
        <f t="shared" si="0"/>
        <v>200</v>
      </c>
    </row>
    <row r="13" spans="2:8" x14ac:dyDescent="0.25">
      <c r="B13" s="1" t="s">
        <v>17</v>
      </c>
      <c r="C13" s="4">
        <f>C12*taxa_mensal</f>
        <v>0</v>
      </c>
      <c r="F13" s="9" t="s">
        <v>18</v>
      </c>
      <c r="G13" s="10">
        <f>VLOOKUP($C$9&amp;"_"&amp;F13,Apoio!$A$2:$D$19,4,FALSE)</f>
        <v>0.1</v>
      </c>
      <c r="H13" s="4">
        <f t="shared" si="0"/>
        <v>100</v>
      </c>
    </row>
    <row r="14" spans="2:8" x14ac:dyDescent="0.25">
      <c r="F14" s="9" t="s">
        <v>19</v>
      </c>
      <c r="G14" s="10">
        <f>VLOOKUP($C$9&amp;"_"&amp;F14,Apoio!$A$2:$D$19,4,FALSE)</f>
        <v>0.1</v>
      </c>
      <c r="H14" s="4">
        <f t="shared" si="0"/>
        <v>100</v>
      </c>
    </row>
    <row r="15" spans="2:8" x14ac:dyDescent="0.25">
      <c r="F15" s="9" t="s">
        <v>20</v>
      </c>
      <c r="G15" s="10">
        <f>VLOOKUP($C$9&amp;"_"&amp;F15,Apoio!$A$2:$D$19,4,FALSE)</f>
        <v>0.1</v>
      </c>
      <c r="H15" s="4">
        <f t="shared" si="0"/>
        <v>100</v>
      </c>
    </row>
    <row r="16" spans="2:8" ht="18.75" x14ac:dyDescent="0.3">
      <c r="B16" s="7" t="s">
        <v>21</v>
      </c>
      <c r="F16" s="3" t="s">
        <v>22</v>
      </c>
      <c r="G16" s="11">
        <f>SUM(G10:G15)</f>
        <v>0.99999999999999989</v>
      </c>
      <c r="H16" s="12">
        <f>SUM(H10:H15)</f>
        <v>1000</v>
      </c>
    </row>
    <row r="17" spans="2:4" x14ac:dyDescent="0.25">
      <c r="B17" s="8" t="s">
        <v>4</v>
      </c>
      <c r="C17" s="8" t="s">
        <v>23</v>
      </c>
      <c r="D17" s="8" t="s">
        <v>24</v>
      </c>
    </row>
    <row r="18" spans="2:4" x14ac:dyDescent="0.25">
      <c r="B18" s="9">
        <v>2</v>
      </c>
      <c r="C18" s="4"/>
      <c r="D18" s="4">
        <f>C18*taxa_mensal</f>
        <v>0</v>
      </c>
    </row>
    <row r="19" spans="2:4" x14ac:dyDescent="0.25">
      <c r="B19" s="9">
        <v>5</v>
      </c>
      <c r="C19" s="4"/>
      <c r="D19" s="4">
        <f>C19*taxa_mensal</f>
        <v>0</v>
      </c>
    </row>
    <row r="20" spans="2:4" x14ac:dyDescent="0.25">
      <c r="B20" s="9">
        <v>10</v>
      </c>
      <c r="C20" s="4"/>
      <c r="D20" s="4">
        <f>C20*taxa_mensal</f>
        <v>0</v>
      </c>
    </row>
    <row r="21" spans="2:4" x14ac:dyDescent="0.25">
      <c r="B21" s="9">
        <v>20</v>
      </c>
      <c r="C21" s="4"/>
      <c r="D21" s="4">
        <f>C21*taxa_mensal</f>
        <v>0</v>
      </c>
    </row>
    <row r="22" spans="2:4" x14ac:dyDescent="0.25">
      <c r="B22" s="9">
        <v>30</v>
      </c>
      <c r="C22" s="4"/>
      <c r="D22" s="4">
        <f>C22*taxa_mensal</f>
        <v>0</v>
      </c>
    </row>
  </sheetData>
  <mergeCells count="1">
    <mergeCell ref="B2:H3"/>
  </mergeCells>
  <dataValidations count="1">
    <dataValidation type="list" sqref="C9" xr:uid="{00000000-0002-0000-0000-000000000000}">
      <formula1>"Conservador,Moderado,Arrojado"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8" customWidth="1"/>
    <col min="3" max="3" width="22" customWidth="1"/>
    <col min="4" max="4" width="15" customWidth="1"/>
    <col min="6" max="6" width="18" customWidth="1"/>
    <col min="7" max="7" width="15" customWidth="1"/>
  </cols>
  <sheetData>
    <row r="1" spans="1:7" x14ac:dyDescent="0.25">
      <c r="A1" s="13" t="s">
        <v>25</v>
      </c>
      <c r="B1" s="13" t="s">
        <v>26</v>
      </c>
      <c r="C1" s="13" t="s">
        <v>9</v>
      </c>
      <c r="D1" s="13" t="s">
        <v>10</v>
      </c>
      <c r="F1" s="13" t="s">
        <v>26</v>
      </c>
      <c r="G1" s="13" t="s">
        <v>22</v>
      </c>
    </row>
    <row r="2" spans="1:7" x14ac:dyDescent="0.25">
      <c r="A2" s="9" t="s">
        <v>27</v>
      </c>
      <c r="B2" s="9" t="s">
        <v>28</v>
      </c>
      <c r="C2" s="9" t="s">
        <v>12</v>
      </c>
      <c r="D2" s="14">
        <v>0.4</v>
      </c>
      <c r="F2" s="9" t="s">
        <v>28</v>
      </c>
      <c r="G2" s="14">
        <f>SUMIF($B$2:$B$19,F2,$D$2:$D$19)</f>
        <v>1</v>
      </c>
    </row>
    <row r="3" spans="1:7" x14ac:dyDescent="0.25">
      <c r="A3" s="9" t="s">
        <v>29</v>
      </c>
      <c r="B3" s="9" t="s">
        <v>28</v>
      </c>
      <c r="C3" s="9" t="s">
        <v>14</v>
      </c>
      <c r="D3" s="14">
        <v>0.3</v>
      </c>
      <c r="F3" s="9" t="s">
        <v>8</v>
      </c>
      <c r="G3" s="14">
        <f>SUMIF($B$2:$B$19,F3,$D$2:$D$19)</f>
        <v>0.99999999999999989</v>
      </c>
    </row>
    <row r="4" spans="1:7" x14ac:dyDescent="0.25">
      <c r="A4" s="9" t="s">
        <v>30</v>
      </c>
      <c r="B4" s="9" t="s">
        <v>28</v>
      </c>
      <c r="C4" s="9" t="s">
        <v>16</v>
      </c>
      <c r="D4" s="14">
        <v>0.1</v>
      </c>
      <c r="F4" s="9" t="s">
        <v>31</v>
      </c>
      <c r="G4" s="14">
        <f>SUMIF($B$2:$B$19,F4,$D$2:$D$19)</f>
        <v>1</v>
      </c>
    </row>
    <row r="5" spans="1:7" x14ac:dyDescent="0.25">
      <c r="A5" s="9" t="s">
        <v>32</v>
      </c>
      <c r="B5" s="9" t="s">
        <v>28</v>
      </c>
      <c r="C5" s="9" t="s">
        <v>18</v>
      </c>
      <c r="D5" s="14">
        <v>0.1</v>
      </c>
    </row>
    <row r="6" spans="1:7" x14ac:dyDescent="0.25">
      <c r="A6" s="9" t="s">
        <v>33</v>
      </c>
      <c r="B6" s="9" t="s">
        <v>28</v>
      </c>
      <c r="C6" s="9" t="s">
        <v>19</v>
      </c>
      <c r="D6" s="14">
        <v>0.05</v>
      </c>
    </row>
    <row r="7" spans="1:7" x14ac:dyDescent="0.25">
      <c r="A7" s="9" t="s">
        <v>34</v>
      </c>
      <c r="B7" s="9" t="s">
        <v>28</v>
      </c>
      <c r="C7" s="9" t="s">
        <v>20</v>
      </c>
      <c r="D7" s="14">
        <v>0.05</v>
      </c>
    </row>
    <row r="8" spans="1:7" x14ac:dyDescent="0.25">
      <c r="A8" s="9" t="s">
        <v>35</v>
      </c>
      <c r="B8" s="9" t="s">
        <v>8</v>
      </c>
      <c r="C8" s="9" t="s">
        <v>12</v>
      </c>
      <c r="D8" s="14">
        <v>0.3</v>
      </c>
    </row>
    <row r="9" spans="1:7" x14ac:dyDescent="0.25">
      <c r="A9" s="9" t="s">
        <v>36</v>
      </c>
      <c r="B9" s="9" t="s">
        <v>8</v>
      </c>
      <c r="C9" s="9" t="s">
        <v>14</v>
      </c>
      <c r="D9" s="14">
        <v>0.2</v>
      </c>
    </row>
    <row r="10" spans="1:7" x14ac:dyDescent="0.25">
      <c r="A10" s="9" t="s">
        <v>37</v>
      </c>
      <c r="B10" s="9" t="s">
        <v>8</v>
      </c>
      <c r="C10" s="9" t="s">
        <v>16</v>
      </c>
      <c r="D10" s="14">
        <v>0.2</v>
      </c>
    </row>
    <row r="11" spans="1:7" x14ac:dyDescent="0.25">
      <c r="A11" s="9" t="s">
        <v>38</v>
      </c>
      <c r="B11" s="9" t="s">
        <v>8</v>
      </c>
      <c r="C11" s="9" t="s">
        <v>18</v>
      </c>
      <c r="D11" s="14">
        <v>0.1</v>
      </c>
    </row>
    <row r="12" spans="1:7" x14ac:dyDescent="0.25">
      <c r="A12" s="9" t="s">
        <v>39</v>
      </c>
      <c r="B12" s="9" t="s">
        <v>8</v>
      </c>
      <c r="C12" s="9" t="s">
        <v>19</v>
      </c>
      <c r="D12" s="14">
        <v>0.1</v>
      </c>
    </row>
    <row r="13" spans="1:7" x14ac:dyDescent="0.25">
      <c r="A13" s="9" t="s">
        <v>40</v>
      </c>
      <c r="B13" s="9" t="s">
        <v>8</v>
      </c>
      <c r="C13" s="9" t="s">
        <v>20</v>
      </c>
      <c r="D13" s="14">
        <v>0.1</v>
      </c>
    </row>
    <row r="14" spans="1:7" x14ac:dyDescent="0.25">
      <c r="A14" s="9" t="s">
        <v>41</v>
      </c>
      <c r="B14" s="9" t="s">
        <v>31</v>
      </c>
      <c r="C14" s="9" t="s">
        <v>12</v>
      </c>
      <c r="D14" s="14">
        <v>0.15</v>
      </c>
    </row>
    <row r="15" spans="1:7" x14ac:dyDescent="0.25">
      <c r="A15" s="9" t="s">
        <v>42</v>
      </c>
      <c r="B15" s="9" t="s">
        <v>31</v>
      </c>
      <c r="C15" s="9" t="s">
        <v>14</v>
      </c>
      <c r="D15" s="14">
        <v>0.1</v>
      </c>
    </row>
    <row r="16" spans="1:7" x14ac:dyDescent="0.25">
      <c r="A16" s="9" t="s">
        <v>43</v>
      </c>
      <c r="B16" s="9" t="s">
        <v>31</v>
      </c>
      <c r="C16" s="9" t="s">
        <v>16</v>
      </c>
      <c r="D16" s="14">
        <v>0.2</v>
      </c>
    </row>
    <row r="17" spans="1:4" x14ac:dyDescent="0.25">
      <c r="A17" s="9" t="s">
        <v>44</v>
      </c>
      <c r="B17" s="9" t="s">
        <v>31</v>
      </c>
      <c r="C17" s="9" t="s">
        <v>18</v>
      </c>
      <c r="D17" s="14">
        <v>0.15</v>
      </c>
    </row>
    <row r="18" spans="1:4" x14ac:dyDescent="0.25">
      <c r="A18" s="9" t="s">
        <v>45</v>
      </c>
      <c r="B18" s="9" t="s">
        <v>31</v>
      </c>
      <c r="C18" s="9" t="s">
        <v>19</v>
      </c>
      <c r="D18" s="14">
        <v>0.2</v>
      </c>
    </row>
    <row r="19" spans="1:4" x14ac:dyDescent="0.25">
      <c r="A19" s="9" t="s">
        <v>46</v>
      </c>
      <c r="B19" s="9" t="s">
        <v>31</v>
      </c>
      <c r="C19" s="9" t="s">
        <v>20</v>
      </c>
      <c r="D19" s="14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showGridLines="0" workbookViewId="0"/>
  </sheetViews>
  <sheetFormatPr defaultRowHeight="15" x14ac:dyDescent="0.25"/>
  <cols>
    <col min="1" max="1" width="110" customWidth="1"/>
  </cols>
  <sheetData>
    <row r="1" spans="1:1" ht="21" x14ac:dyDescent="0.35">
      <c r="A1" s="15" t="s">
        <v>47</v>
      </c>
    </row>
    <row r="3" spans="1:1" x14ac:dyDescent="0.25">
      <c r="A3" s="16" t="s">
        <v>48</v>
      </c>
    </row>
    <row r="4" spans="1:1" x14ac:dyDescent="0.25">
      <c r="A4" t="s">
        <v>49</v>
      </c>
    </row>
    <row r="6" spans="1:1" x14ac:dyDescent="0.25">
      <c r="A6" s="1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3" spans="1:1" x14ac:dyDescent="0.25">
      <c r="A13" s="16" t="s">
        <v>56</v>
      </c>
    </row>
    <row r="14" spans="1:1" x14ac:dyDescent="0.25">
      <c r="A14" t="s">
        <v>57</v>
      </c>
    </row>
    <row r="16" spans="1:1" x14ac:dyDescent="0.25">
      <c r="A16" s="16" t="s">
        <v>58</v>
      </c>
    </row>
    <row r="17" spans="1:1" x14ac:dyDescent="0.25">
      <c r="A17" t="s">
        <v>59</v>
      </c>
    </row>
    <row r="19" spans="1:1" x14ac:dyDescent="0.25">
      <c r="A19" s="16" t="s">
        <v>60</v>
      </c>
    </row>
    <row r="20" spans="1:1" x14ac:dyDescent="0.25">
      <c r="A20" t="s">
        <v>61</v>
      </c>
    </row>
    <row r="22" spans="1:1" x14ac:dyDescent="0.25">
      <c r="A22" s="16" t="s">
        <v>62</v>
      </c>
    </row>
    <row r="23" spans="1:1" x14ac:dyDescent="0.25">
      <c r="A23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Simulador</vt:lpstr>
      <vt:lpstr>Apoio</vt:lpstr>
      <vt:lpstr>README</vt:lpstr>
      <vt:lpstr>aporte</vt:lpstr>
      <vt:lpstr>perfil</vt:lpstr>
      <vt:lpstr>prazo_anos</vt:lpstr>
      <vt:lpstr>salario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Adelino</cp:lastModifiedBy>
  <dcterms:created xsi:type="dcterms:W3CDTF">2026-10-05T02:12:20Z</dcterms:created>
  <dcterms:modified xsi:type="dcterms:W3CDTF">2026-10-05T02:11:44Z</dcterms:modified>
</cp:coreProperties>
</file>